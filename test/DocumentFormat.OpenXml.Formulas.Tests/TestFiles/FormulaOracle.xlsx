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E704AE94-0B4F-DD4C-9CD1-E7D127742D6D}" xr6:coauthVersionLast="47" xr6:coauthVersionMax="47" xr10:uidLastSave="{00000000-0000-0000-0000-000000000000}"/>
  <bookViews>
    <workbookView xWindow="0" yWindow="680" windowWidth="30240" windowHeight="17260" xr2:uid="{00000000-000D-0000-FFFF-FFFF00000000}"/>
  </bookViews>
  <sheets>
    <sheet name="Math" sheetId="1" r:id="rId1"/>
    <sheet name="Logical" sheetId="2" r:id="rId2"/>
    <sheet name="Text" sheetId="3" r:id="rId3"/>
    <sheet name="Lookup" sheetId="4" r:id="rId4"/>
    <sheet name="DateTime" sheetId="5" r:id="rId5"/>
    <sheet name="Statistical" sheetId="6" r:id="rId6"/>
    <sheet name="Inform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7" l="1"/>
  <c r="C6" i="7"/>
  <c r="C5" i="7"/>
  <c r="C4" i="7"/>
  <c r="C3" i="7"/>
  <c r="C2" i="7"/>
  <c r="C10" i="6"/>
  <c r="C9" i="6"/>
  <c r="C8" i="6"/>
  <c r="C7" i="6"/>
  <c r="C6" i="6"/>
  <c r="C5" i="6"/>
  <c r="C4" i="6"/>
  <c r="C3" i="6"/>
  <c r="C2" i="6"/>
  <c r="C12" i="5"/>
  <c r="C11" i="5"/>
  <c r="C10" i="5"/>
  <c r="C9" i="5"/>
  <c r="C8" i="5"/>
  <c r="C7" i="5"/>
  <c r="C6" i="5"/>
  <c r="C5" i="5"/>
  <c r="C4" i="5"/>
  <c r="C3" i="5"/>
  <c r="C2" i="5"/>
  <c r="C10" i="4"/>
  <c r="C9" i="4"/>
  <c r="C8" i="4"/>
  <c r="C7" i="4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<sst xmlns="http://schemas.openxmlformats.org/spreadsheetml/2006/main" count="293" uniqueCount="234">
  <si>
    <t>Function</t>
  </si>
  <si>
    <t>Formula</t>
  </si>
  <si>
    <t>Expected (Excel)</t>
  </si>
  <si>
    <t>Description</t>
  </si>
  <si>
    <t>SUM</t>
  </si>
  <si>
    <t>=SUM(1,2,3)</t>
  </si>
  <si>
    <t>Basic sum</t>
  </si>
  <si>
    <t>=SUM(F3:F5)</t>
  </si>
  <si>
    <t>Range sum</t>
  </si>
  <si>
    <t>=SUM(1,2,F4)</t>
  </si>
  <si>
    <t>Mixed sum</t>
  </si>
  <si>
    <t>AVERAGE</t>
  </si>
  <si>
    <t>=AVERAGE(10,20,30)</t>
  </si>
  <si>
    <t>Basic average</t>
  </si>
  <si>
    <t>=AVERAGE(F6:H6)</t>
  </si>
  <si>
    <t>Range average</t>
  </si>
  <si>
    <t>COUNT</t>
  </si>
  <si>
    <t>=COUNT(1,2,3,4,5)</t>
  </si>
  <si>
    <t>Basic count</t>
  </si>
  <si>
    <t>=COUNT(F8:J8)</t>
  </si>
  <si>
    <t>Range count</t>
  </si>
  <si>
    <t>COUNTA</t>
  </si>
  <si>
    <t>=COUNTA(1,"text",TRUE)</t>
  </si>
  <si>
    <t>Count with mixed types</t>
  </si>
  <si>
    <t>MAX</t>
  </si>
  <si>
    <t>=MAX(5,10,3,8)</t>
  </si>
  <si>
    <t>Basic max</t>
  </si>
  <si>
    <t>MIN</t>
  </si>
  <si>
    <t>=MIN(5,10,3,8)</t>
  </si>
  <si>
    <t>Basic min</t>
  </si>
  <si>
    <t>=MAX(F12:I12)</t>
  </si>
  <si>
    <t>Range max</t>
  </si>
  <si>
    <t>ROUND</t>
  </si>
  <si>
    <t>=ROUND(3.14159, 2)</t>
  </si>
  <si>
    <t>Round to 2 decimals</t>
  </si>
  <si>
    <t>=ROUND(2.5, 0)</t>
  </si>
  <si>
    <t>Round half up</t>
  </si>
  <si>
    <t>ROUNDUP</t>
  </si>
  <si>
    <t>=ROUNDUP(3.14, 1)</t>
  </si>
  <si>
    <t>Round up</t>
  </si>
  <si>
    <t>ROUNDDOWN</t>
  </si>
  <si>
    <t>=ROUNDDOWN(3.99, 1)</t>
  </si>
  <si>
    <t>Round down</t>
  </si>
  <si>
    <t>ABS</t>
  </si>
  <si>
    <t>=ABS(-10)</t>
  </si>
  <si>
    <t>Absolute value negative</t>
  </si>
  <si>
    <t>=ABS(10)</t>
  </si>
  <si>
    <t>Absolute value positive</t>
  </si>
  <si>
    <t>PRODUCT</t>
  </si>
  <si>
    <t>=PRODUCT(2,3,4)</t>
  </si>
  <si>
    <t>Basic product</t>
  </si>
  <si>
    <t>=PRODUCT(F20:H20)</t>
  </si>
  <si>
    <t>Range product</t>
  </si>
  <si>
    <t>POWER</t>
  </si>
  <si>
    <t>=POWER(2,3)</t>
  </si>
  <si>
    <t>2 to the power of 3</t>
  </si>
  <si>
    <t>=POWER(5,2)</t>
  </si>
  <si>
    <t>5 squared</t>
  </si>
  <si>
    <t>IF</t>
  </si>
  <si>
    <t>=IF(TRUE, "yes", "no")</t>
  </si>
  <si>
    <t>IF true</t>
  </si>
  <si>
    <t>=IF(FALSE, "yes", "no")</t>
  </si>
  <si>
    <t>IF false</t>
  </si>
  <si>
    <t>=IF(10&gt;5, "greater", "less")</t>
  </si>
  <si>
    <t>IF comparison</t>
  </si>
  <si>
    <t>=IF(F5&gt;10, "high", "low")</t>
  </si>
  <si>
    <t>IF cell reference</t>
  </si>
  <si>
    <t>=IF(F6&gt;20, "high", IF(F6&gt;10, "medium", "low"))</t>
  </si>
  <si>
    <t>Nested IF</t>
  </si>
  <si>
    <t>AND</t>
  </si>
  <si>
    <t>=AND(TRUE, TRUE)</t>
  </si>
  <si>
    <t>AND both true</t>
  </si>
  <si>
    <t>=AND(TRUE, FALSE)</t>
  </si>
  <si>
    <t>AND one false</t>
  </si>
  <si>
    <t>=AND(10&gt;5, 20&gt;15)</t>
  </si>
  <si>
    <t>AND comparisons</t>
  </si>
  <si>
    <t>OR</t>
  </si>
  <si>
    <t>=OR(TRUE, FALSE)</t>
  </si>
  <si>
    <t>OR one true</t>
  </si>
  <si>
    <t>=OR(FALSE, FALSE)</t>
  </si>
  <si>
    <t>OR both false</t>
  </si>
  <si>
    <t>=OR(10&gt;5, 3&gt;15)</t>
  </si>
  <si>
    <t>OR comparisons</t>
  </si>
  <si>
    <t>NOT</t>
  </si>
  <si>
    <t>=NOT(TRUE)</t>
  </si>
  <si>
    <t>NOT true</t>
  </si>
  <si>
    <t>=NOT(FALSE)</t>
  </si>
  <si>
    <t>NOT false</t>
  </si>
  <si>
    <t>AND+OR</t>
  </si>
  <si>
    <t>=AND(OR(F15&gt;10, F15&lt;5), F15&lt;&gt;0)</t>
  </si>
  <si>
    <t>Complex logic</t>
  </si>
  <si>
    <t>Hello</t>
  </si>
  <si>
    <t>World</t>
  </si>
  <si>
    <t>Excel</t>
  </si>
  <si>
    <t>CONCATENATE</t>
  </si>
  <si>
    <t>=CONCATENATE("Hello", " ", "World")</t>
  </si>
  <si>
    <t>Basic concatenate</t>
  </si>
  <si>
    <t>=CONCATENATE(F1, " ", G1)</t>
  </si>
  <si>
    <t>Concatenate cells</t>
  </si>
  <si>
    <t>LEFT</t>
  </si>
  <si>
    <t>=LEFT("Hello", 3)</t>
  </si>
  <si>
    <t>Left 3 chars</t>
  </si>
  <si>
    <t>RIGHT</t>
  </si>
  <si>
    <t>=RIGHT("World", 3)</t>
  </si>
  <si>
    <t>Right 3 chars</t>
  </si>
  <si>
    <t>MID</t>
  </si>
  <si>
    <t>=MID("Hello", 2, 3)</t>
  </si>
  <si>
    <t>Mid substring</t>
  </si>
  <si>
    <t>LEN</t>
  </si>
  <si>
    <t>=LEN("Hello")</t>
  </si>
  <si>
    <t>Length of string</t>
  </si>
  <si>
    <t>=LEN(F1)</t>
  </si>
  <si>
    <t>Length of cell</t>
  </si>
  <si>
    <t>TRIM</t>
  </si>
  <si>
    <t>=TRIM("  Hello  ")</t>
  </si>
  <si>
    <t>Trim spaces</t>
  </si>
  <si>
    <t>=TRIM(H1)</t>
  </si>
  <si>
    <t>Trim cell</t>
  </si>
  <si>
    <t>UPPER</t>
  </si>
  <si>
    <t>=UPPER("hello")</t>
  </si>
  <si>
    <t>Convert to uppercase</t>
  </si>
  <si>
    <t>LOWER</t>
  </si>
  <si>
    <t>=LOWER("WORLD")</t>
  </si>
  <si>
    <t>Convert to lowercase</t>
  </si>
  <si>
    <t>PROPER</t>
  </si>
  <si>
    <t>=PROPER("hello world")</t>
  </si>
  <si>
    <t>Convert to proper case</t>
  </si>
  <si>
    <t>TEXT</t>
  </si>
  <si>
    <t>=TEXT(1234.5, "0.00")</t>
  </si>
  <si>
    <t>Format number</t>
  </si>
  <si>
    <t>=TEXT(0.75, "0%")</t>
  </si>
  <si>
    <t>Format as percent</t>
  </si>
  <si>
    <t>VALUE</t>
  </si>
  <si>
    <t>=VALUE("123")</t>
  </si>
  <si>
    <t>Convert string to number</t>
  </si>
  <si>
    <t>=VALUE("45.67")</t>
  </si>
  <si>
    <t>Convert decimal string</t>
  </si>
  <si>
    <t>FIND</t>
  </si>
  <si>
    <t>=FIND("l", "Hello")</t>
  </si>
  <si>
    <t>Find character</t>
  </si>
  <si>
    <t>SEARCH</t>
  </si>
  <si>
    <t>=SEARCH("o", "Hello")</t>
  </si>
  <si>
    <t>Search character</t>
  </si>
  <si>
    <t>SUBSTITUTE</t>
  </si>
  <si>
    <t>=SUBSTITUTE("Hello", "l", "L")</t>
  </si>
  <si>
    <t>Substitute all</t>
  </si>
  <si>
    <t>=SUBSTITUTE("banana", "a", "o", 2)</t>
  </si>
  <si>
    <t>Substitute 2nd occurrence</t>
  </si>
  <si>
    <t>ID</t>
  </si>
  <si>
    <t>Name</t>
  </si>
  <si>
    <t>Score</t>
  </si>
  <si>
    <t>Alice</t>
  </si>
  <si>
    <t>Bob</t>
  </si>
  <si>
    <t>Carol</t>
  </si>
  <si>
    <t>Dave</t>
  </si>
  <si>
    <t>VLOOKUP</t>
  </si>
  <si>
    <t>=VLOOKUP(2, A2:C5, 2, FALSE)</t>
  </si>
  <si>
    <t>VLOOKUP name by ID</t>
  </si>
  <si>
    <t>=VLOOKUP(3, A2:C5, 3, FALSE)</t>
  </si>
  <si>
    <t>VLOOKUP score by ID</t>
  </si>
  <si>
    <t>=VLOOKUP(1, A2:C5, 2, FALSE)</t>
  </si>
  <si>
    <t>VLOOKUP first row</t>
  </si>
  <si>
    <t>HLOOKUP</t>
  </si>
  <si>
    <t>=HLOOKUP("Bob", F1:H2, 2, FALSE)</t>
  </si>
  <si>
    <t>HLOOKUP score by name</t>
  </si>
  <si>
    <t>DATE</t>
  </si>
  <si>
    <t>=DATE(2023, 6, 15)</t>
  </si>
  <si>
    <t>Create date</t>
  </si>
  <si>
    <t>=DATE(2024, 1, 1)</t>
  </si>
  <si>
    <t>New year date</t>
  </si>
  <si>
    <t>YEAR</t>
  </si>
  <si>
    <t>=YEAR(F1)</t>
  </si>
  <si>
    <t>Extract year</t>
  </si>
  <si>
    <t>MONTH</t>
  </si>
  <si>
    <t>=MONTH(F1)</t>
  </si>
  <si>
    <t>Extract month</t>
  </si>
  <si>
    <t>DAY</t>
  </si>
  <si>
    <t>=DAY(F1)</t>
  </si>
  <si>
    <t>Extract day</t>
  </si>
  <si>
    <t>WEEKDAY</t>
  </si>
  <si>
    <t>=WEEKDAY(F1)</t>
  </si>
  <si>
    <t>Get weekday</t>
  </si>
  <si>
    <t>TODAY</t>
  </si>
  <si>
    <t>=YEAR(TODAY())</t>
  </si>
  <si>
    <t>Today's year</t>
  </si>
  <si>
    <t>NOW</t>
  </si>
  <si>
    <t>=YEAR(NOW())</t>
  </si>
  <si>
    <t>Now's year</t>
  </si>
  <si>
    <t>HOUR</t>
  </si>
  <si>
    <t>=HOUR(G1)</t>
  </si>
  <si>
    <t>Extract hour from time</t>
  </si>
  <si>
    <t>MINUTE</t>
  </si>
  <si>
    <t>=MINUTE(G1)</t>
  </si>
  <si>
    <t>Extract minute from time</t>
  </si>
  <si>
    <t>SECOND</t>
  </si>
  <si>
    <t>=SECOND(G1)</t>
  </si>
  <si>
    <t>Extract second from time</t>
  </si>
  <si>
    <t>MEDIAN</t>
  </si>
  <si>
    <t>=MEDIAN(1,2,3,4,5)</t>
  </si>
  <si>
    <t>Median odd count</t>
  </si>
  <si>
    <t>=MEDIAN(1,2,3,4)</t>
  </si>
  <si>
    <t>Median even count</t>
  </si>
  <si>
    <t>=MEDIAN(F1:F10)</t>
  </si>
  <si>
    <t>Median range</t>
  </si>
  <si>
    <t>MODE</t>
  </si>
  <si>
    <t>=MODE(1,2,2,3,4)</t>
  </si>
  <si>
    <t>Mode basic</t>
  </si>
  <si>
    <t>STDEV</t>
  </si>
  <si>
    <t>=STDEV(1,2,3,4,5)</t>
  </si>
  <si>
    <t>Standard deviation</t>
  </si>
  <si>
    <t>=STDEV(F1:F5)</t>
  </si>
  <si>
    <t>Stdev range</t>
  </si>
  <si>
    <t>VAR</t>
  </si>
  <si>
    <t>=VAR(1,2,3,4,5)</t>
  </si>
  <si>
    <t>Variance</t>
  </si>
  <si>
    <t>=VAR(F1:F5)</t>
  </si>
  <si>
    <t>Var range</t>
  </si>
  <si>
    <t>RANK</t>
  </si>
  <si>
    <t>=RANK(25, F1:F10)</t>
  </si>
  <si>
    <t>Rank in range</t>
  </si>
  <si>
    <t>ISNUMBER</t>
  </si>
  <si>
    <t>=ISNUMBER(123)</t>
  </si>
  <si>
    <t>Is number literal</t>
  </si>
  <si>
    <t>=ISNUMBER("text")</t>
  </si>
  <si>
    <t>Is number text</t>
  </si>
  <si>
    <t>=ISNUMBER(F1)</t>
  </si>
  <si>
    <t>Is number cell</t>
  </si>
  <si>
    <t>ISTEXT</t>
  </si>
  <si>
    <t>=ISTEXT("Hello")</t>
  </si>
  <si>
    <t>Is text literal</t>
  </si>
  <si>
    <t>=ISTEXT(123)</t>
  </si>
  <si>
    <t>Is text number</t>
  </si>
  <si>
    <t>=ISTEXT(F2)</t>
  </si>
  <si>
    <t>Is text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</si>
</sst>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</row>
    <row r="2" spans="1:10" x14ac:dyDescent="0.2">
      <c r="A2" t="s">
        <v>4</v>
      </c>
      <c r="B2" t="s">
        <v>5</v>
      </c>
      <c r="C2">
        <f>SUM(1,2,3)</f>
        <v>6</v>
      </c>
      <c r="D2" t="s">
        <v>6</v>
      </c>
    </row>
    <row r="3" spans="1:10" x14ac:dyDescent="0.2">
      <c r="A3" t="s">
        <v>4</v>
      </c>
      <c r="B3" t="s">
        <v>7</v>
      </c>
      <c r="C3">
        <f>SUM(F3:F5)</f>
        <v>15</v>
      </c>
      <c r="D3" t="s">
        <v>8</v>
      </c>
      <c r="F3">
        <v>10</v>
      </c>
      <c r="G3">
        <v>20</v>
      </c>
      <c r="H3">
        <v>30</v>
      </c>
    </row>
    <row r="4" spans="1:10" x14ac:dyDescent="0.2">
      <c r="A4" t="s">
        <v>4</v>
      </c>
      <c r="B4" t="s">
        <v>9</v>
      </c>
      <c r="C4">
        <f>SUM(1,2,F4)</f>
        <v>8</v>
      </c>
      <c r="D4" t="s">
        <v>10</v>
      </c>
      <c r="F4">
        <v>5</v>
      </c>
    </row>
    <row r="5" spans="1:10" x14ac:dyDescent="0.2">
      <c r="A5" t="s">
        <v>11</v>
      </c>
      <c r="B5" t="s">
        <v>12</v>
      </c>
      <c r="C5">
        <f>AVERAGE(10,20,30)</f>
        <v>20</v>
      </c>
      <c r="D5" t="s">
        <v>13</v>
      </c>
    </row>
    <row r="6" spans="1:10" x14ac:dyDescent="0.2">
      <c r="A6" t="s">
        <v>11</v>
      </c>
      <c r="B6" t="s">
        <v>14</v>
      </c>
      <c r="C6">
        <f>AVERAGE(F6:H6)</f>
        <v>15</v>
      </c>
      <c r="D6" t="s">
        <v>15</v>
      </c>
      <c r="F6">
        <v>5</v>
      </c>
      <c r="G6">
        <v>15</v>
      </c>
      <c r="H6">
        <v>25</v>
      </c>
    </row>
    <row r="7" spans="1:10" x14ac:dyDescent="0.2">
      <c r="A7" t="s">
        <v>16</v>
      </c>
      <c r="B7" t="s">
        <v>17</v>
      </c>
      <c r="C7">
        <f>COUNT(1,2,3,4,5)</f>
        <v>5</v>
      </c>
      <c r="D7" t="s">
        <v>18</v>
      </c>
    </row>
    <row r="8" spans="1:10" x14ac:dyDescent="0.2">
      <c r="A8" t="s">
        <v>16</v>
      </c>
      <c r="B8" t="s">
        <v>19</v>
      </c>
      <c r="C8">
        <f>COUNT(F8:J8)</f>
        <v>5</v>
      </c>
      <c r="D8" t="s">
        <v>20</v>
      </c>
      <c r="F8">
        <v>1</v>
      </c>
      <c r="G8">
        <v>2</v>
      </c>
      <c r="H8">
        <v>3</v>
      </c>
      <c r="I8">
        <v>4</v>
      </c>
      <c r="J8">
        <v>5</v>
      </c>
    </row>
    <row r="9" spans="1:10" x14ac:dyDescent="0.2">
      <c r="A9" t="s">
        <v>21</v>
      </c>
      <c r="B9" t="s">
        <v>22</v>
      </c>
      <c r="C9">
        <f>COUNTA(1,"text",TRUE)</f>
        <v>3</v>
      </c>
      <c r="D9" t="s">
        <v>23</v>
      </c>
    </row>
    <row r="10" spans="1:10" x14ac:dyDescent="0.2">
      <c r="A10" t="s">
        <v>24</v>
      </c>
      <c r="B10" t="s">
        <v>25</v>
      </c>
      <c r="C10">
        <f>MAX(5,10,3,8)</f>
        <v>10</v>
      </c>
      <c r="D10" t="s">
        <v>26</v>
      </c>
    </row>
    <row r="11" spans="1:10" x14ac:dyDescent="0.2">
      <c r="A11" t="s">
        <v>27</v>
      </c>
      <c r="B11" t="s">
        <v>28</v>
      </c>
      <c r="C11">
        <f>MIN(5,10,3,8)</f>
        <v>3</v>
      </c>
      <c r="D11" t="s">
        <v>29</v>
      </c>
    </row>
    <row r="12" spans="1:10" x14ac:dyDescent="0.2">
      <c r="A12" t="s">
        <v>24</v>
      </c>
      <c r="B12" t="s">
        <v>30</v>
      </c>
      <c r="C12">
        <f>MAX(F12:I12)</f>
        <v>25</v>
      </c>
      <c r="D12" t="s">
        <v>31</v>
      </c>
      <c r="F12">
        <v>15</v>
      </c>
      <c r="G12">
        <v>25</v>
      </c>
      <c r="H12">
        <v>10</v>
      </c>
      <c r="I12">
        <v>20</v>
      </c>
    </row>
    <row r="13" spans="1:10" x14ac:dyDescent="0.2">
      <c r="A13" t="s">
        <v>32</v>
      </c>
      <c r="B13" t="s">
        <v>33</v>
      </c>
      <c r="C13">
        <f>ROUND(3.14159, 2)</f>
        <v>3.14</v>
      </c>
      <c r="D13" t="s">
        <v>34</v>
      </c>
    </row>
    <row r="14" spans="1:10" x14ac:dyDescent="0.2">
      <c r="A14" t="s">
        <v>32</v>
      </c>
      <c r="B14" t="s">
        <v>35</v>
      </c>
      <c r="C14">
        <f>ROUND(2.5, 0)</f>
        <v>3</v>
      </c>
      <c r="D14" t="s">
        <v>36</v>
      </c>
    </row>
    <row r="15" spans="1:10" x14ac:dyDescent="0.2">
      <c r="A15" t="s">
        <v>37</v>
      </c>
      <c r="B15" t="s">
        <v>38</v>
      </c>
      <c r="C15">
        <f>ROUNDUP(3.14, 1)</f>
        <v>3.2</v>
      </c>
      <c r="D15" t="s">
        <v>39</v>
      </c>
    </row>
    <row r="16" spans="1:10" x14ac:dyDescent="0.2">
      <c r="A16" t="s">
        <v>40</v>
      </c>
      <c r="B16" t="s">
        <v>41</v>
      </c>
      <c r="C16">
        <f>ROUNDDOWN(3.99, 1)</f>
        <v>3.9</v>
      </c>
      <c r="D16" t="s">
        <v>42</v>
      </c>
    </row>
    <row r="17" spans="1:8" x14ac:dyDescent="0.2">
      <c r="A17" t="s">
        <v>43</v>
      </c>
      <c r="B17" t="s">
        <v>44</v>
      </c>
      <c r="C17">
        <f>ABS(-10)</f>
        <v>10</v>
      </c>
      <c r="D17" t="s">
        <v>45</v>
      </c>
    </row>
    <row r="18" spans="1:8" x14ac:dyDescent="0.2">
      <c r="A18" t="s">
        <v>43</v>
      </c>
      <c r="B18" t="s">
        <v>46</v>
      </c>
      <c r="C18">
        <f>ABS(10)</f>
        <v>10</v>
      </c>
      <c r="D18" t="s">
        <v>47</v>
      </c>
    </row>
    <row r="19" spans="1:8" x14ac:dyDescent="0.2">
      <c r="A19" t="s">
        <v>48</v>
      </c>
      <c r="B19" t="s">
        <v>49</v>
      </c>
      <c r="C19">
        <f>PRODUCT(2,3,4)</f>
        <v>24</v>
      </c>
      <c r="D19" t="s">
        <v>50</v>
      </c>
    </row>
    <row r="20" spans="1:8" x14ac:dyDescent="0.2">
      <c r="A20" t="s">
        <v>48</v>
      </c>
      <c r="B20" t="s">
        <v>51</v>
      </c>
      <c r="C20">
        <f>PRODUCT(F20:H20)</f>
        <v>100</v>
      </c>
      <c r="D20" t="s">
        <v>52</v>
      </c>
      <c r="F20">
        <v>2</v>
      </c>
      <c r="G20">
        <v>5</v>
      </c>
      <c r="H20">
        <v>10</v>
      </c>
    </row>
    <row r="21" spans="1:8" x14ac:dyDescent="0.2">
      <c r="A21" t="s">
        <v>53</v>
      </c>
      <c r="B21" t="s">
        <v>54</v>
      </c>
      <c r="C21">
        <f>POWER(2,3)</f>
        <v>8</v>
      </c>
      <c r="D21" t="s">
        <v>55</v>
      </c>
    </row>
    <row r="22" spans="1:8" x14ac:dyDescent="0.2">
      <c r="A22" t="s">
        <v>53</v>
      </c>
      <c r="B22" t="s">
        <v>56</v>
      </c>
      <c r="C22">
        <f>POWER(5,2)</f>
        <v>25</v>
      </c>
      <c r="D2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</row>
    <row r="2" spans="1:6" x14ac:dyDescent="0.2">
      <c r="A2" t="s">
        <v>58</v>
      </c>
      <c r="B2" t="s">
        <v>59</v>
      </c>
      <c r="C2" t="str">
        <f>IF(TRUE, "yes", "no")</f>
        <v>yes</v>
      </c>
      <c r="D2" t="s">
        <v>60</v>
      </c>
    </row>
    <row r="3" spans="1:6" x14ac:dyDescent="0.2">
      <c r="A3" t="s">
        <v>58</v>
      </c>
      <c r="B3" t="s">
        <v>61</v>
      </c>
      <c r="C3" t="str">
        <f>IF(FALSE, "yes", "no")</f>
        <v>no</v>
      </c>
      <c r="D3" t="s">
        <v>62</v>
      </c>
    </row>
    <row r="4" spans="1:6" x14ac:dyDescent="0.2">
      <c r="A4" t="s">
        <v>58</v>
      </c>
      <c r="B4" t="s">
        <v>63</v>
      </c>
      <c r="C4" t="str">
        <f>IF(10&gt;5, "greater", "less")</f>
        <v>greater</v>
      </c>
      <c r="D4" t="s">
        <v>64</v>
      </c>
    </row>
    <row r="5" spans="1:6" x14ac:dyDescent="0.2">
      <c r="A5" t="s">
        <v>58</v>
      </c>
      <c r="B5" t="s">
        <v>65</v>
      </c>
      <c r="C5" t="str">
        <f>IF(F5&gt;10, "high", "low")</f>
        <v>high</v>
      </c>
      <c r="D5" t="s">
        <v>66</v>
      </c>
      <c r="F5">
        <v>15</v>
      </c>
    </row>
    <row r="6" spans="1:6" x14ac:dyDescent="0.2">
      <c r="A6" t="s">
        <v>58</v>
      </c>
      <c r="B6" t="s">
        <v>67</v>
      </c>
      <c r="C6" t="str">
        <f>IF(F6&gt;20, "high", IF(F6&gt;10, "medium", "low"))</f>
        <v>medium</v>
      </c>
      <c r="D6" t="s">
        <v>68</v>
      </c>
      <c r="F6">
        <v>15</v>
      </c>
    </row>
    <row r="7" spans="1:6" x14ac:dyDescent="0.2">
      <c r="A7" t="s">
        <v>69</v>
      </c>
      <c r="B7" t="s">
        <v>70</v>
      </c>
      <c r="C7" t="b">
        <f>AND(TRUE, TRUE)</f>
        <v>1</v>
      </c>
      <c r="D7" t="s">
        <v>71</v>
      </c>
    </row>
    <row r="8" spans="1:6" x14ac:dyDescent="0.2">
      <c r="A8" t="s">
        <v>69</v>
      </c>
      <c r="B8" t="s">
        <v>72</v>
      </c>
      <c r="C8" t="b">
        <f>AND(TRUE, FALSE)</f>
        <v>0</v>
      </c>
      <c r="D8" t="s">
        <v>73</v>
      </c>
    </row>
    <row r="9" spans="1:6" x14ac:dyDescent="0.2">
      <c r="A9" t="s">
        <v>69</v>
      </c>
      <c r="B9" t="s">
        <v>74</v>
      </c>
      <c r="C9" t="b">
        <f>AND(10&gt;5, 20&gt;15)</f>
        <v>1</v>
      </c>
      <c r="D9" t="s">
        <v>75</v>
      </c>
    </row>
    <row r="10" spans="1:6" x14ac:dyDescent="0.2">
      <c r="A10" t="s">
        <v>76</v>
      </c>
      <c r="B10" t="s">
        <v>77</v>
      </c>
      <c r="C10" t="b">
        <f>OR(TRUE, FALSE)</f>
        <v>1</v>
      </c>
      <c r="D10" t="s">
        <v>78</v>
      </c>
    </row>
    <row r="11" spans="1:6" x14ac:dyDescent="0.2">
      <c r="A11" t="s">
        <v>76</v>
      </c>
      <c r="B11" t="s">
        <v>79</v>
      </c>
      <c r="C11" t="b">
        <f>OR(FALSE, FALSE)</f>
        <v>0</v>
      </c>
      <c r="D11" t="s">
        <v>80</v>
      </c>
    </row>
    <row r="12" spans="1:6" x14ac:dyDescent="0.2">
      <c r="A12" t="s">
        <v>76</v>
      </c>
      <c r="B12" t="s">
        <v>81</v>
      </c>
      <c r="C12" t="b">
        <f>OR(10&gt;5, 3&gt;15)</f>
        <v>1</v>
      </c>
      <c r="D12" t="s">
        <v>82</v>
      </c>
    </row>
    <row r="13" spans="1:6" x14ac:dyDescent="0.2">
      <c r="A13" t="s">
        <v>83</v>
      </c>
      <c r="B13" t="s">
        <v>84</v>
      </c>
      <c r="C13" t="b">
        <f>NOT(TRUE)</f>
        <v>0</v>
      </c>
      <c r="D13" t="s">
        <v>85</v>
      </c>
    </row>
    <row r="14" spans="1:6" x14ac:dyDescent="0.2">
      <c r="A14" t="s">
        <v>83</v>
      </c>
      <c r="B14" t="s">
        <v>86</v>
      </c>
      <c r="C14" t="b">
        <f>NOT(FALSE)</f>
        <v>1</v>
      </c>
      <c r="D14" t="s">
        <v>87</v>
      </c>
    </row>
    <row r="15" spans="1:6" x14ac:dyDescent="0.2">
      <c r="A15" t="s">
        <v>88</v>
      </c>
      <c r="B15" t="s">
        <v>89</v>
      </c>
      <c r="C15" t="b">
        <f>AND(OR(F15&gt;10, F15&lt;5), F15&lt;&gt;0)</f>
        <v>1</v>
      </c>
      <c r="D15" t="s">
        <v>90</v>
      </c>
      <c r="F15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F1" t="s">
        <v>91</v>
      </c>
      <c r="G1" t="s">
        <v>92</v>
      </c>
      <c r="H1" t="s">
        <v>93</v>
      </c>
    </row>
    <row r="2" spans="1:8" x14ac:dyDescent="0.2">
      <c r="A2" t="s">
        <v>94</v>
      </c>
      <c r="B2" t="s">
        <v>95</v>
      </c>
      <c r="C2" t="str">
        <f>CONCATENATE("Hello", " ", "World")</f>
        <v>Hello World</v>
      </c>
      <c r="D2" t="s">
        <v>96</v>
      </c>
    </row>
    <row r="3" spans="1:8" x14ac:dyDescent="0.2">
      <c r="A3" t="s">
        <v>94</v>
      </c>
      <c r="B3" t="s">
        <v>97</v>
      </c>
      <c r="C3" t="str">
        <f>CONCATENATE(F1, " ", G1)</f>
        <v>Hello World</v>
      </c>
      <c r="D3" t="s">
        <v>98</v>
      </c>
    </row>
    <row r="4" spans="1:8" x14ac:dyDescent="0.2">
      <c r="A4" t="s">
        <v>99</v>
      </c>
      <c r="B4" t="s">
        <v>100</v>
      </c>
      <c r="C4" t="str">
        <f>LEFT("Hello", 3)</f>
        <v>Hel</v>
      </c>
      <c r="D4" t="s">
        <v>101</v>
      </c>
    </row>
    <row r="5" spans="1:8" x14ac:dyDescent="0.2">
      <c r="A5" t="s">
        <v>102</v>
      </c>
      <c r="B5" t="s">
        <v>103</v>
      </c>
      <c r="C5" t="str">
        <f>RIGHT("World", 3)</f>
        <v>rld</v>
      </c>
      <c r="D5" t="s">
        <v>104</v>
      </c>
    </row>
    <row r="6" spans="1:8" x14ac:dyDescent="0.2">
      <c r="A6" t="s">
        <v>105</v>
      </c>
      <c r="B6" t="s">
        <v>106</v>
      </c>
      <c r="C6" t="str">
        <f>MID("Hello", 2, 3)</f>
        <v>ell</v>
      </c>
      <c r="D6" t="s">
        <v>107</v>
      </c>
    </row>
    <row r="7" spans="1:8" x14ac:dyDescent="0.2">
      <c r="A7" t="s">
        <v>108</v>
      </c>
      <c r="B7" t="s">
        <v>109</v>
      </c>
      <c r="C7">
        <f>LEN("Hello")</f>
        <v>5</v>
      </c>
      <c r="D7" t="s">
        <v>110</v>
      </c>
    </row>
    <row r="8" spans="1:8" x14ac:dyDescent="0.2">
      <c r="A8" t="s">
        <v>108</v>
      </c>
      <c r="B8" t="s">
        <v>111</v>
      </c>
      <c r="C8">
        <f>LEN(F1)</f>
        <v>5</v>
      </c>
      <c r="D8" t="s">
        <v>112</v>
      </c>
    </row>
    <row r="9" spans="1:8" x14ac:dyDescent="0.2">
      <c r="A9" t="s">
        <v>113</v>
      </c>
      <c r="B9" t="s">
        <v>114</v>
      </c>
      <c r="C9" t="str">
        <f>TRIM("  Hello  ")</f>
        <v>Hello</v>
      </c>
      <c r="D9" t="s">
        <v>115</v>
      </c>
    </row>
    <row r="10" spans="1:8" x14ac:dyDescent="0.2">
      <c r="A10" t="s">
        <v>113</v>
      </c>
      <c r="B10" t="s">
        <v>116</v>
      </c>
      <c r="C10" t="str">
        <f>TRIM(H1)</f>
        <v>Excel</v>
      </c>
      <c r="D10" t="s">
        <v>117</v>
      </c>
    </row>
    <row r="11" spans="1:8" x14ac:dyDescent="0.2">
      <c r="A11" t="s">
        <v>118</v>
      </c>
      <c r="B11" t="s">
        <v>119</v>
      </c>
      <c r="C11" t="str">
        <f>UPPER("hello")</f>
        <v>HELLO</v>
      </c>
      <c r="D11" t="s">
        <v>120</v>
      </c>
    </row>
    <row r="12" spans="1:8" x14ac:dyDescent="0.2">
      <c r="A12" t="s">
        <v>121</v>
      </c>
      <c r="B12" t="s">
        <v>122</v>
      </c>
      <c r="C12" t="str">
        <f>LOWER("WORLD")</f>
        <v>world</v>
      </c>
      <c r="D12" t="s">
        <v>123</v>
      </c>
    </row>
    <row r="13" spans="1:8" x14ac:dyDescent="0.2">
      <c r="A13" t="s">
        <v>124</v>
      </c>
      <c r="B13" t="s">
        <v>125</v>
      </c>
      <c r="C13" t="str">
        <f>PROPER("hello world")</f>
        <v>Hello World</v>
      </c>
      <c r="D13" t="s">
        <v>126</v>
      </c>
    </row>
    <row r="14" spans="1:8" x14ac:dyDescent="0.2">
      <c r="A14" t="s">
        <v>127</v>
      </c>
      <c r="B14" t="s">
        <v>128</v>
      </c>
      <c r="C14" t="str">
        <f>TEXT(1234.5, "0.00")</f>
        <v>1234.50</v>
      </c>
      <c r="D14" t="s">
        <v>129</v>
      </c>
    </row>
    <row r="15" spans="1:8" x14ac:dyDescent="0.2">
      <c r="A15" t="s">
        <v>127</v>
      </c>
      <c r="B15" t="s">
        <v>130</v>
      </c>
      <c r="C15" t="str">
        <f>TEXT(0.75, "0%")</f>
        <v>75%</v>
      </c>
      <c r="D15" t="s">
        <v>131</v>
      </c>
    </row>
    <row r="16" spans="1:8" x14ac:dyDescent="0.2">
      <c r="A16" t="s">
        <v>132</v>
      </c>
      <c r="B16" t="s">
        <v>133</v>
      </c>
      <c r="C16">
        <f>VALUE("123")</f>
        <v>123</v>
      </c>
      <c r="D16" t="s">
        <v>134</v>
      </c>
    </row>
    <row r="17" spans="1:4" x14ac:dyDescent="0.2">
      <c r="A17" t="s">
        <v>132</v>
      </c>
      <c r="B17" t="s">
        <v>135</v>
      </c>
      <c r="C17">
        <f>VALUE("45.67")</f>
        <v>45.67</v>
      </c>
      <c r="D17" t="s">
        <v>136</v>
      </c>
    </row>
    <row r="18" spans="1:4" x14ac:dyDescent="0.2">
      <c r="A18" t="s">
        <v>137</v>
      </c>
      <c r="B18" t="s">
        <v>138</v>
      </c>
      <c r="C18">
        <f>FIND("l", "Hello")</f>
        <v>3</v>
      </c>
      <c r="D18" t="s">
        <v>139</v>
      </c>
    </row>
    <row r="19" spans="1:4" x14ac:dyDescent="0.2">
      <c r="A19" t="s">
        <v>140</v>
      </c>
      <c r="B19" t="s">
        <v>141</v>
      </c>
      <c r="C19">
        <f>SEARCH("o", "Hello")</f>
        <v>5</v>
      </c>
      <c r="D19" t="s">
        <v>142</v>
      </c>
    </row>
    <row r="20" spans="1:4" x14ac:dyDescent="0.2">
      <c r="A20" t="s">
        <v>143</v>
      </c>
      <c r="B20" t="s">
        <v>144</v>
      </c>
      <c r="C20" t="str">
        <f>SUBSTITUTE("Hello", "l", "L")</f>
        <v>HeLLo</v>
      </c>
      <c r="D20" t="s">
        <v>145</v>
      </c>
    </row>
    <row r="21" spans="1:4" x14ac:dyDescent="0.2">
      <c r="A21" t="s">
        <v>143</v>
      </c>
      <c r="B21" t="s">
        <v>146</v>
      </c>
      <c r="C21" t="str">
        <f>SUBSTITUTE("banana", "a", "o", 2)</f>
        <v>banona</v>
      </c>
      <c r="D21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/>
  </sheetViews>
  <sheetFormatPr baseColWidth="10" defaultRowHeight="16" x14ac:dyDescent="0.2"/>
  <sheetData>
    <row r="1" spans="1:8" x14ac:dyDescent="0.2">
      <c r="A1" t="s">
        <v>148</v>
      </c>
      <c r="B1" t="s">
        <v>149</v>
      </c>
      <c r="C1" t="s">
        <v>150</v>
      </c>
      <c r="F1" t="s">
        <v>151</v>
      </c>
      <c r="G1" t="s">
        <v>152</v>
      </c>
      <c r="H1" t="s">
        <v>153</v>
      </c>
    </row>
    <row r="2" spans="1:8" x14ac:dyDescent="0.2">
      <c r="A2">
        <v>1</v>
      </c>
      <c r="B2" t="s">
        <v>151</v>
      </c>
      <c r="C2">
        <v>95</v>
      </c>
      <c r="F2">
        <v>95</v>
      </c>
      <c r="G2">
        <v>87</v>
      </c>
      <c r="H2">
        <v>92</v>
      </c>
    </row>
    <row r="3" spans="1:8" x14ac:dyDescent="0.2">
      <c r="A3">
        <v>2</v>
      </c>
      <c r="B3" t="s">
        <v>152</v>
      </c>
      <c r="C3">
        <v>87</v>
      </c>
    </row>
    <row r="4" spans="1:8" x14ac:dyDescent="0.2">
      <c r="A4">
        <v>3</v>
      </c>
      <c r="B4" t="s">
        <v>153</v>
      </c>
      <c r="C4">
        <v>92</v>
      </c>
    </row>
    <row r="5" spans="1:8" x14ac:dyDescent="0.2">
      <c r="A5">
        <v>4</v>
      </c>
      <c r="B5" t="s">
        <v>154</v>
      </c>
      <c r="C5">
        <v>88</v>
      </c>
    </row>
    <row r="7" spans="1:8" x14ac:dyDescent="0.2">
      <c r="A7" t="s">
        <v>155</v>
      </c>
      <c r="B7" t="s">
        <v>156</v>
      </c>
      <c r="C7" t="str">
        <f>VLOOKUP(2, A2:C5, 2, FALSE)</f>
        <v>Bob</v>
      </c>
      <c r="D7" t="s">
        <v>157</v>
      </c>
    </row>
    <row r="8" spans="1:8" x14ac:dyDescent="0.2">
      <c r="A8" t="s">
        <v>155</v>
      </c>
      <c r="B8" t="s">
        <v>158</v>
      </c>
      <c r="C8">
        <f>VLOOKUP(3, A2:C5, 3, FALSE)</f>
        <v>92</v>
      </c>
      <c r="D8" t="s">
        <v>159</v>
      </c>
    </row>
    <row r="9" spans="1:8" x14ac:dyDescent="0.2">
      <c r="A9" t="s">
        <v>155</v>
      </c>
      <c r="B9" t="s">
        <v>160</v>
      </c>
      <c r="C9" t="str">
        <f>VLOOKUP(1, A2:C5, 2, FALSE)</f>
        <v>Alice</v>
      </c>
      <c r="D9" t="s">
        <v>161</v>
      </c>
    </row>
    <row r="10" spans="1:8" x14ac:dyDescent="0.2">
      <c r="A10" t="s">
        <v>162</v>
      </c>
      <c r="B10" t="s">
        <v>163</v>
      </c>
      <c r="C10">
        <f>HLOOKUP("Bob", F1:H2, 2, FALSE)</f>
        <v>87</v>
      </c>
      <c r="D10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F1">
        <v>45096</v>
      </c>
      <c r="G1">
        <v>0.5</v>
      </c>
    </row>
    <row r="2" spans="1:7" x14ac:dyDescent="0.2">
      <c r="A2" t="s">
        <v>165</v>
      </c>
      <c r="B2" t="s">
        <v>166</v>
      </c>
      <c r="C2">
        <f>DATE(2023, 6, 15)</f>
        <v>45092</v>
      </c>
      <c r="D2" t="s">
        <v>167</v>
      </c>
    </row>
    <row r="3" spans="1:7" x14ac:dyDescent="0.2">
      <c r="A3" t="s">
        <v>165</v>
      </c>
      <c r="B3" t="s">
        <v>168</v>
      </c>
      <c r="C3">
        <f>DATE(2024, 1, 1)</f>
        <v>45292</v>
      </c>
      <c r="D3" t="s">
        <v>169</v>
      </c>
    </row>
    <row r="4" spans="1:7" x14ac:dyDescent="0.2">
      <c r="A4" t="s">
        <v>170</v>
      </c>
      <c r="B4" t="s">
        <v>171</v>
      </c>
      <c r="C4">
        <f>YEAR(F1)</f>
        <v>2023</v>
      </c>
      <c r="D4" t="s">
        <v>172</v>
      </c>
    </row>
    <row r="5" spans="1:7" x14ac:dyDescent="0.2">
      <c r="A5" t="s">
        <v>173</v>
      </c>
      <c r="B5" t="s">
        <v>174</v>
      </c>
      <c r="C5">
        <f>MONTH(F1)</f>
        <v>6</v>
      </c>
      <c r="D5" t="s">
        <v>175</v>
      </c>
    </row>
    <row r="6" spans="1:7" x14ac:dyDescent="0.2">
      <c r="A6" t="s">
        <v>176</v>
      </c>
      <c r="B6" t="s">
        <v>177</v>
      </c>
      <c r="C6">
        <f>DAY(F1)</f>
        <v>19</v>
      </c>
      <c r="D6" t="s">
        <v>178</v>
      </c>
    </row>
    <row r="7" spans="1:7" x14ac:dyDescent="0.2">
      <c r="A7" t="s">
        <v>179</v>
      </c>
      <c r="B7" t="s">
        <v>180</v>
      </c>
      <c r="C7">
        <f>WEEKDAY(F1)</f>
        <v>2</v>
      </c>
      <c r="D7" t="s">
        <v>181</v>
      </c>
    </row>
    <row r="8" spans="1:7" x14ac:dyDescent="0.2">
      <c r="A8" t="s">
        <v>182</v>
      </c>
      <c r="B8" t="s">
        <v>183</v>
      </c>
      <c r="C8">
        <f ca="1">YEAR(TODAY())</f>
        <v>2025</v>
      </c>
      <c r="D8" t="s">
        <v>184</v>
      </c>
    </row>
    <row r="9" spans="1:7" x14ac:dyDescent="0.2">
      <c r="A9" t="s">
        <v>185</v>
      </c>
      <c r="B9" t="s">
        <v>186</v>
      </c>
      <c r="C9">
        <f ca="1">YEAR(NOW())</f>
        <v>2025</v>
      </c>
      <c r="D9" t="s">
        <v>187</v>
      </c>
    </row>
    <row r="10" spans="1:7" x14ac:dyDescent="0.2">
      <c r="A10" t="s">
        <v>188</v>
      </c>
      <c r="B10" t="s">
        <v>189</v>
      </c>
      <c r="C10">
        <f>HOUR(G1)</f>
        <v>12</v>
      </c>
      <c r="D10" t="s">
        <v>190</v>
      </c>
    </row>
    <row r="11" spans="1:7" x14ac:dyDescent="0.2">
      <c r="A11" t="s">
        <v>191</v>
      </c>
      <c r="B11" t="s">
        <v>192</v>
      </c>
      <c r="C11">
        <f>MINUTE(G1)</f>
        <v>0</v>
      </c>
      <c r="D11" t="s">
        <v>193</v>
      </c>
    </row>
    <row r="12" spans="1:7" x14ac:dyDescent="0.2">
      <c r="A12" t="s">
        <v>194</v>
      </c>
      <c r="B12" t="s">
        <v>195</v>
      </c>
      <c r="C12">
        <f>SECOND(G1)</f>
        <v>0</v>
      </c>
      <c r="D12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F1">
        <v>5</v>
      </c>
    </row>
    <row r="2" spans="1:6" x14ac:dyDescent="0.2">
      <c r="A2" t="s">
        <v>197</v>
      </c>
      <c r="B2" t="s">
        <v>198</v>
      </c>
      <c r="C2">
        <f>MEDIAN(1,2,3,4,5)</f>
        <v>3</v>
      </c>
      <c r="D2" t="s">
        <v>199</v>
      </c>
      <c r="F2">
        <v>10</v>
      </c>
    </row>
    <row r="3" spans="1:6" x14ac:dyDescent="0.2">
      <c r="A3" t="s">
        <v>197</v>
      </c>
      <c r="B3" t="s">
        <v>200</v>
      </c>
      <c r="C3">
        <f>MEDIAN(1,2,3,4)</f>
        <v>2.5</v>
      </c>
      <c r="D3" t="s">
        <v>201</v>
      </c>
      <c r="F3">
        <v>15</v>
      </c>
    </row>
    <row r="4" spans="1:6" x14ac:dyDescent="0.2">
      <c r="A4" t="s">
        <v>197</v>
      </c>
      <c r="B4" t="s">
        <v>202</v>
      </c>
      <c r="C4">
        <f>MEDIAN(F1:F10)</f>
        <v>27.5</v>
      </c>
      <c r="D4" t="s">
        <v>203</v>
      </c>
      <c r="F4">
        <v>20</v>
      </c>
    </row>
    <row r="5" spans="1:6" x14ac:dyDescent="0.2">
      <c r="A5" t="s">
        <v>204</v>
      </c>
      <c r="B5" t="s">
        <v>205</v>
      </c>
      <c r="C5">
        <f>MODE(1,2,2,3,4)</f>
        <v>2</v>
      </c>
      <c r="D5" t="s">
        <v>206</v>
      </c>
      <c r="F5">
        <v>25</v>
      </c>
    </row>
    <row r="6" spans="1:6" x14ac:dyDescent="0.2">
      <c r="A6" t="s">
        <v>207</v>
      </c>
      <c r="B6" t="s">
        <v>208</v>
      </c>
      <c r="C6">
        <f>STDEV(1,2,3,4,5)</f>
        <v>1.5811388300841898</v>
      </c>
      <c r="D6" t="s">
        <v>209</v>
      </c>
      <c r="F6">
        <v>30</v>
      </c>
    </row>
    <row r="7" spans="1:6" x14ac:dyDescent="0.2">
      <c r="A7" t="s">
        <v>207</v>
      </c>
      <c r="B7" t="s">
        <v>210</v>
      </c>
      <c r="C7">
        <f>STDEV(F1:F5)</f>
        <v>7.9056941504209481</v>
      </c>
      <c r="D7" t="s">
        <v>211</v>
      </c>
      <c r="F7">
        <v>35</v>
      </c>
    </row>
    <row r="8" spans="1:6" x14ac:dyDescent="0.2">
      <c r="A8" t="s">
        <v>212</v>
      </c>
      <c r="B8" t="s">
        <v>213</v>
      </c>
      <c r="C8">
        <f>VAR(1,2,3,4,5)</f>
        <v>2.5</v>
      </c>
      <c r="D8" t="s">
        <v>214</v>
      </c>
      <c r="F8">
        <v>40</v>
      </c>
    </row>
    <row r="9" spans="1:6" x14ac:dyDescent="0.2">
      <c r="A9" t="s">
        <v>212</v>
      </c>
      <c r="B9" t="s">
        <v>215</v>
      </c>
      <c r="C9">
        <f>VAR(F1:F5)</f>
        <v>62.5</v>
      </c>
      <c r="D9" t="s">
        <v>216</v>
      </c>
      <c r="F9">
        <v>45</v>
      </c>
    </row>
    <row r="10" spans="1:6" x14ac:dyDescent="0.2">
      <c r="A10" t="s">
        <v>217</v>
      </c>
      <c r="B10" t="s">
        <v>218</v>
      </c>
      <c r="C10">
        <f>RANK(25, F1:F10)</f>
        <v>6</v>
      </c>
      <c r="D10" t="s">
        <v>219</v>
      </c>
      <c r="F10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F1">
        <v>123</v>
      </c>
    </row>
    <row r="2" spans="1:6" x14ac:dyDescent="0.2">
      <c r="A2" t="s">
        <v>220</v>
      </c>
      <c r="B2" t="s">
        <v>221</v>
      </c>
      <c r="C2" t="b">
        <f>ISNUMBER(123)</f>
        <v>1</v>
      </c>
      <c r="D2" t="s">
        <v>222</v>
      </c>
      <c r="F2" t="s">
        <v>91</v>
      </c>
    </row>
    <row r="3" spans="1:6" x14ac:dyDescent="0.2">
      <c r="A3" t="s">
        <v>220</v>
      </c>
      <c r="B3" t="s">
        <v>223</v>
      </c>
      <c r="C3" t="b">
        <f>ISNUMBER("text")</f>
        <v>0</v>
      </c>
      <c r="D3" t="s">
        <v>224</v>
      </c>
    </row>
    <row r="4" spans="1:6" x14ac:dyDescent="0.2">
      <c r="A4" t="s">
        <v>220</v>
      </c>
      <c r="B4" t="s">
        <v>225</v>
      </c>
      <c r="C4" t="b">
        <f>ISNUMBER(F1)</f>
        <v>1</v>
      </c>
      <c r="D4" t="s">
        <v>226</v>
      </c>
    </row>
    <row r="5" spans="1:6" x14ac:dyDescent="0.2">
      <c r="A5" t="s">
        <v>227</v>
      </c>
      <c r="B5" t="s">
        <v>228</v>
      </c>
      <c r="C5" t="b">
        <f>ISTEXT("Hello")</f>
        <v>1</v>
      </c>
      <c r="D5" t="s">
        <v>229</v>
      </c>
    </row>
    <row r="6" spans="1:6" x14ac:dyDescent="0.2">
      <c r="A6" t="s">
        <v>227</v>
      </c>
      <c r="B6" t="s">
        <v>230</v>
      </c>
      <c r="C6" t="b">
        <f>ISTEXT(123)</f>
        <v>0</v>
      </c>
      <c r="D6" t="s">
        <v>231</v>
      </c>
    </row>
    <row r="7" spans="1:6" x14ac:dyDescent="0.2">
      <c r="A7" t="s">
        <v>227</v>
      </c>
      <c r="B7" t="s">
        <v>232</v>
      </c>
      <c r="C7" t="b">
        <f>ISTEXT(F2)</f>
        <v>1</v>
      </c>
      <c r="D7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Math</vt:lpstr>
      <vt:lpstr>Logical</vt:lpstr>
      <vt:lpstr>Text</vt:lpstr>
      <vt:lpstr>Lookup</vt:lpstr>
      <vt:lpstr>DateTime</vt:lpstr>
      <vt:lpstr>Statistical</vt:lpstr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Liotta</cp:lastModifiedBy>
  <dcterms:modified xsi:type="dcterms:W3CDTF">2025-11-11T20:38:00Z</dcterms:modified>
</cp:coreProperties>
</file>